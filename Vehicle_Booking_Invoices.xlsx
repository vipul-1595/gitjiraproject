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 Booking Invo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<sst xmlns="http://schemas.openxmlformats.org/spreadsheetml/2006/main" count="222" uniqueCount="154">
  <si>
    <t xml:space="preserve">Invoice_ID</t>
  </si>
  <si>
    <t xml:space="preserve">Booking_ID</t>
  </si>
  <si>
    <t xml:space="preserve">Customer_Name</t>
  </si>
  <si>
    <t xml:space="preserve">Contact_Number</t>
  </si>
  <si>
    <t xml:space="preserve">Vehicle_Type</t>
  </si>
  <si>
    <t xml:space="preserve">Vehicle_Model</t>
  </si>
  <si>
    <t xml:space="preserve">Vehicle_Number</t>
  </si>
  <si>
    <t xml:space="preserve">Pickup_Location</t>
  </si>
  <si>
    <t xml:space="preserve">Pickup_Date</t>
  </si>
  <si>
    <t xml:space="preserve">Return_Date</t>
  </si>
  <si>
    <t xml:space="preserve">Rental_Days</t>
  </si>
  <si>
    <t xml:space="preserve">Rate_Per_Day_INR</t>
  </si>
  <si>
    <t xml:space="preserve">Subtotal_INR</t>
  </si>
  <si>
    <t xml:space="preserve">Discount_Percent</t>
  </si>
  <si>
    <t xml:space="preserve">Discount_Amount_INR</t>
  </si>
  <si>
    <t xml:space="preserve">Taxable_Amount_INR</t>
  </si>
  <si>
    <t xml:space="preserve">Tax_Percent</t>
  </si>
  <si>
    <t xml:space="preserve">Tax_Amount_INR</t>
  </si>
  <si>
    <t xml:space="preserve">Total_Amount_INR</t>
  </si>
  <si>
    <t xml:space="preserve">Payment_Mode</t>
  </si>
  <si>
    <t xml:space="preserve">Payment_Status</t>
  </si>
  <si>
    <t xml:space="preserve">INV1001</t>
  </si>
  <si>
    <t xml:space="preserve">BK2025001</t>
  </si>
  <si>
    <t xml:space="preserve">Rohan Mehta</t>
  </si>
  <si>
    <t xml:space="preserve">9210053353</t>
  </si>
  <si>
    <t xml:space="preserve">Electric Hatchback</t>
  </si>
  <si>
    <t xml:space="preserve">Tata Tiago EV</t>
  </si>
  <si>
    <t xml:space="preserve">MH18B7912</t>
  </si>
  <si>
    <t xml:space="preserve">Mumbai Airport</t>
  </si>
  <si>
    <t xml:space="preserve">UPI</t>
  </si>
  <si>
    <t xml:space="preserve">Paid</t>
  </si>
  <si>
    <t xml:space="preserve">INV1002</t>
  </si>
  <si>
    <t xml:space="preserve">BK2025002</t>
  </si>
  <si>
    <t xml:space="preserve">Nikhil Trivedi</t>
  </si>
  <si>
    <t xml:space="preserve">9797808098</t>
  </si>
  <si>
    <t xml:space="preserve">Sedan</t>
  </si>
  <si>
    <t xml:space="preserve">Honda City</t>
  </si>
  <si>
    <t xml:space="preserve">MH18G4611</t>
  </si>
  <si>
    <t xml:space="preserve">Delhi Connaught Place</t>
  </si>
  <si>
    <t xml:space="preserve">Cash</t>
  </si>
  <si>
    <t xml:space="preserve">INV1003</t>
  </si>
  <si>
    <t xml:space="preserve">BK2025003</t>
  </si>
  <si>
    <t xml:space="preserve">Neha Das</t>
  </si>
  <si>
    <t xml:space="preserve">9209747451</t>
  </si>
  <si>
    <t xml:space="preserve">Hatchback</t>
  </si>
  <si>
    <t xml:space="preserve">Maruti Swift</t>
  </si>
  <si>
    <t xml:space="preserve">MH03G2584</t>
  </si>
  <si>
    <t xml:space="preserve">Bengaluru MG Road</t>
  </si>
  <si>
    <t xml:space="preserve">Debit Card</t>
  </si>
  <si>
    <t xml:space="preserve">Partially Paid</t>
  </si>
  <si>
    <t xml:space="preserve">INV1004</t>
  </si>
  <si>
    <t xml:space="preserve">BK2025004</t>
  </si>
  <si>
    <t xml:space="preserve">Aditya Menon</t>
  </si>
  <si>
    <t xml:space="preserve">9414797776</t>
  </si>
  <si>
    <t xml:space="preserve">SUV</t>
  </si>
  <si>
    <t xml:space="preserve">Hyundai Creta</t>
  </si>
  <si>
    <t xml:space="preserve">MH20F4150</t>
  </si>
  <si>
    <t xml:space="preserve">Chennai T Nagar</t>
  </si>
  <si>
    <t xml:space="preserve">INV1005</t>
  </si>
  <si>
    <t xml:space="preserve">BK2025005</t>
  </si>
  <si>
    <t xml:space="preserve">Meera Verma</t>
  </si>
  <si>
    <t xml:space="preserve">9398471886</t>
  </si>
  <si>
    <t xml:space="preserve">MH15F3664</t>
  </si>
  <si>
    <t xml:space="preserve">INV1006</t>
  </si>
  <si>
    <t xml:space="preserve">BK2025006</t>
  </si>
  <si>
    <t xml:space="preserve">Aarav Trivedi</t>
  </si>
  <si>
    <t xml:space="preserve">9596348124</t>
  </si>
  <si>
    <t xml:space="preserve">MG Comet EV</t>
  </si>
  <si>
    <t xml:space="preserve">MH13E4598</t>
  </si>
  <si>
    <t xml:space="preserve">INV1007</t>
  </si>
  <si>
    <t xml:space="preserve">BK2025007</t>
  </si>
  <si>
    <t xml:space="preserve">Rahul Rao</t>
  </si>
  <si>
    <t xml:space="preserve">9870854579</t>
  </si>
  <si>
    <t xml:space="preserve">MH11D9179</t>
  </si>
  <si>
    <t xml:space="preserve">Net Banking</t>
  </si>
  <si>
    <t xml:space="preserve">INV1008</t>
  </si>
  <si>
    <t xml:space="preserve">BK2025008</t>
  </si>
  <si>
    <t xml:space="preserve">Isha Menon</t>
  </si>
  <si>
    <t xml:space="preserve">9726563708</t>
  </si>
  <si>
    <t xml:space="preserve">MH13F4593</t>
  </si>
  <si>
    <t xml:space="preserve">Pune Station</t>
  </si>
  <si>
    <t xml:space="preserve">Pending</t>
  </si>
  <si>
    <t xml:space="preserve">INV1009</t>
  </si>
  <si>
    <t xml:space="preserve">BK2025009</t>
  </si>
  <si>
    <t xml:space="preserve">Sneha Gupta</t>
  </si>
  <si>
    <t xml:space="preserve">9168212356</t>
  </si>
  <si>
    <t xml:space="preserve">MH13G8668</t>
  </si>
  <si>
    <t xml:space="preserve">Hyderabad Hitech City</t>
  </si>
  <si>
    <t xml:space="preserve">INV1010</t>
  </si>
  <si>
    <t xml:space="preserve">BK2025010</t>
  </si>
  <si>
    <t xml:space="preserve">Sneha Menon</t>
  </si>
  <si>
    <t xml:space="preserve">9415143362</t>
  </si>
  <si>
    <t xml:space="preserve">Tata Altroz</t>
  </si>
  <si>
    <t xml:space="preserve">MH14C8433</t>
  </si>
  <si>
    <t xml:space="preserve">INV1011</t>
  </si>
  <si>
    <t xml:space="preserve">BK2025011</t>
  </si>
  <si>
    <t xml:space="preserve">Sneha Joshi</t>
  </si>
  <si>
    <t xml:space="preserve">9501486939</t>
  </si>
  <si>
    <t xml:space="preserve">Skoda Slavia</t>
  </si>
  <si>
    <t xml:space="preserve">MH06A6310</t>
  </si>
  <si>
    <t xml:space="preserve">INV1012</t>
  </si>
  <si>
    <t xml:space="preserve">BK2025012</t>
  </si>
  <si>
    <t xml:space="preserve">Isha Patel</t>
  </si>
  <si>
    <t xml:space="preserve">9885879795</t>
  </si>
  <si>
    <t xml:space="preserve">Mahindra XUV700</t>
  </si>
  <si>
    <t xml:space="preserve">MH16B9727</t>
  </si>
  <si>
    <t xml:space="preserve">Ahmedabad SG Highway</t>
  </si>
  <si>
    <t xml:space="preserve">Credit Card</t>
  </si>
  <si>
    <t xml:space="preserve">INV1013</t>
  </si>
  <si>
    <t xml:space="preserve">BK2025013</t>
  </si>
  <si>
    <t xml:space="preserve">Kavya Nair</t>
  </si>
  <si>
    <t xml:space="preserve">9327416584</t>
  </si>
  <si>
    <t xml:space="preserve">MH18D6107</t>
  </si>
  <si>
    <t xml:space="preserve">INV1014</t>
  </si>
  <si>
    <t xml:space="preserve">BK2025014</t>
  </si>
  <si>
    <t xml:space="preserve">Sneha Singh</t>
  </si>
  <si>
    <t xml:space="preserve">9731691672</t>
  </si>
  <si>
    <t xml:space="preserve">Mini Van</t>
  </si>
  <si>
    <t xml:space="preserve">Toyota Innova</t>
  </si>
  <si>
    <t xml:space="preserve">MH18D4608</t>
  </si>
  <si>
    <t xml:space="preserve">INV1015</t>
  </si>
  <si>
    <t xml:space="preserve">BK2025015</t>
  </si>
  <si>
    <t xml:space="preserve">Priya Das</t>
  </si>
  <si>
    <t xml:space="preserve">9818309417</t>
  </si>
  <si>
    <t xml:space="preserve">MH16D9834</t>
  </si>
  <si>
    <t xml:space="preserve">INV1016</t>
  </si>
  <si>
    <t xml:space="preserve">BK2025016</t>
  </si>
  <si>
    <t xml:space="preserve">Pooja Chopra</t>
  </si>
  <si>
    <t xml:space="preserve">9562837684</t>
  </si>
  <si>
    <t xml:space="preserve">Luxury Sedan</t>
  </si>
  <si>
    <t xml:space="preserve">Toyota Camry</t>
  </si>
  <si>
    <t xml:space="preserve">MH12G7735</t>
  </si>
  <si>
    <t xml:space="preserve">INV1017</t>
  </si>
  <si>
    <t xml:space="preserve">BK2025017</t>
  </si>
  <si>
    <t xml:space="preserve">Rahul Reddy</t>
  </si>
  <si>
    <t xml:space="preserve">9581695135</t>
  </si>
  <si>
    <t xml:space="preserve">Hyundai i20</t>
  </si>
  <si>
    <t xml:space="preserve">MH05G4006</t>
  </si>
  <si>
    <t xml:space="preserve">INV1018</t>
  </si>
  <si>
    <t xml:space="preserve">BK2025018</t>
  </si>
  <si>
    <t xml:space="preserve">Kavya Reddy</t>
  </si>
  <si>
    <t xml:space="preserve">9200140141</t>
  </si>
  <si>
    <t xml:space="preserve">MH08C7658</t>
  </si>
  <si>
    <t xml:space="preserve">INV1019</t>
  </si>
  <si>
    <t xml:space="preserve">BK2025019</t>
  </si>
  <si>
    <t xml:space="preserve">Ananya Rao</t>
  </si>
  <si>
    <t xml:space="preserve">9406284028</t>
  </si>
  <si>
    <t xml:space="preserve">MH14H3536</t>
  </si>
  <si>
    <t xml:space="preserve">INV1020</t>
  </si>
  <si>
    <t xml:space="preserve">BK2025020</t>
  </si>
  <si>
    <t xml:space="preserve">Kavya Patel</t>
  </si>
  <si>
    <t xml:space="preserve">9611947770</t>
  </si>
  <si>
    <t xml:space="preserve">MH17C1931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</si>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</sst>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3" t="s">
        <v>23</v>
      </c>
      <c r="D2" s="2" t="s">
        <v>24</v>
      </c>
      <c r="E2" s="2" t="s">
        <v>25</v>
      </c>
      <c r="F2" s="3" t="s">
        <v>26</v>
      </c>
      <c r="G2" s="2" t="s">
        <v>27</v>
      </c>
      <c r="H2" s="3" t="s">
        <v>28</v>
      </c>
      <c r="I2" s="4" t="n">
        <v>45783</v>
      </c>
      <c r="J2" s="4" t="n">
        <v>45785</v>
      </c>
      <c r="K2" s="2" t="n">
        <f aca="false">J2-I2</f>
        <v>2</v>
      </c>
      <c r="L2" s="5" t="n">
        <v>1642</v>
      </c>
      <c r="M2" s="5" t="n">
        <f aca="false">K2*L2</f>
        <v>3284</v>
      </c>
      <c r="N2" s="6" t="n">
        <v>0.15</v>
      </c>
      <c r="O2" s="5" t="n">
        <f aca="false">M2*N2</f>
        <v>492.6</v>
      </c>
      <c r="P2" s="5" t="n">
        <f aca="false">M2-O2</f>
        <v>2791.4</v>
      </c>
      <c r="Q2" s="6" t="n">
        <v>0.18</v>
      </c>
      <c r="R2" s="5" t="n">
        <f aca="false">P2*Q2</f>
        <v>502.452</v>
      </c>
      <c r="S2" s="7" t="n">
        <f aca="false">P2+R2</f>
        <v>3293.852</v>
      </c>
      <c r="T2" s="2" t="s">
        <v>29</v>
      </c>
      <c r="U2" s="2" t="s">
        <v>30</v>
      </c>
    </row>
    <row r="3" customFormat="false" ht="15" hidden="false" customHeight="false" outlineLevel="0" collapsed="false">
      <c r="A3" s="2" t="s">
        <v>31</v>
      </c>
      <c r="B3" s="2" t="s">
        <v>32</v>
      </c>
      <c r="C3" s="3" t="s">
        <v>33</v>
      </c>
      <c r="D3" s="2" t="s">
        <v>34</v>
      </c>
      <c r="E3" s="2" t="s">
        <v>35</v>
      </c>
      <c r="F3" s="3" t="s">
        <v>36</v>
      </c>
      <c r="G3" s="2" t="s">
        <v>37</v>
      </c>
      <c r="H3" s="3" t="s">
        <v>38</v>
      </c>
      <c r="I3" s="4" t="n">
        <v>45671</v>
      </c>
      <c r="J3" s="4" t="n">
        <v>45676</v>
      </c>
      <c r="K3" s="2" t="n">
        <f aca="false">J3-I3</f>
        <v>5</v>
      </c>
      <c r="L3" s="5" t="n">
        <v>2203</v>
      </c>
      <c r="M3" s="5" t="n">
        <f aca="false">K3*L3</f>
        <v>11015</v>
      </c>
      <c r="N3" s="6" t="n">
        <v>0.15</v>
      </c>
      <c r="O3" s="5" t="n">
        <f aca="false">M3*N3</f>
        <v>1652.25</v>
      </c>
      <c r="P3" s="5" t="n">
        <f aca="false">M3-O3</f>
        <v>9362.75</v>
      </c>
      <c r="Q3" s="6" t="n">
        <v>0.18</v>
      </c>
      <c r="R3" s="5" t="n">
        <f aca="false">P3*Q3</f>
        <v>1685.295</v>
      </c>
      <c r="S3" s="7" t="n">
        <f aca="false">P3+R3</f>
        <v>11048.045</v>
      </c>
      <c r="T3" s="2" t="s">
        <v>39</v>
      </c>
      <c r="U3" s="2" t="s">
        <v>30</v>
      </c>
    </row>
    <row r="4" customFormat="false" ht="15" hidden="false" customHeight="false" outlineLevel="0" collapsed="false">
      <c r="A4" s="2" t="s">
        <v>40</v>
      </c>
      <c r="B4" s="2" t="s">
        <v>41</v>
      </c>
      <c r="C4" s="3" t="s">
        <v>42</v>
      </c>
      <c r="D4" s="2" t="s">
        <v>43</v>
      </c>
      <c r="E4" s="2" t="s">
        <v>44</v>
      </c>
      <c r="F4" s="3" t="s">
        <v>45</v>
      </c>
      <c r="G4" s="2" t="s">
        <v>46</v>
      </c>
      <c r="H4" s="3" t="s">
        <v>47</v>
      </c>
      <c r="I4" s="4" t="n">
        <v>45800</v>
      </c>
      <c r="J4" s="4" t="n">
        <v>45802</v>
      </c>
      <c r="K4" s="2" t="n">
        <f aca="false">J4-I4</f>
        <v>2</v>
      </c>
      <c r="L4" s="5" t="n">
        <v>1420</v>
      </c>
      <c r="M4" s="5" t="n">
        <f aca="false">K4*L4</f>
        <v>2840</v>
      </c>
      <c r="N4" s="6" t="n">
        <v>0</v>
      </c>
      <c r="O4" s="5" t="n">
        <f aca="false">M4*N4</f>
        <v>0</v>
      </c>
      <c r="P4" s="5" t="n">
        <f aca="false">M4-O4</f>
        <v>2840</v>
      </c>
      <c r="Q4" s="6" t="n">
        <v>0.18</v>
      </c>
      <c r="R4" s="5" t="n">
        <f aca="false">P4*Q4</f>
        <v>511.2</v>
      </c>
      <c r="S4" s="7" t="n">
        <f aca="false">P4+R4</f>
        <v>3351.2</v>
      </c>
      <c r="T4" s="2" t="s">
        <v>48</v>
      </c>
      <c r="U4" s="2" t="s">
        <v>49</v>
      </c>
    </row>
    <row r="5" customFormat="false" ht="15" hidden="false" customHeight="false" outlineLevel="0" collapsed="false">
      <c r="A5" s="2" t="s">
        <v>50</v>
      </c>
      <c r="B5" s="2" t="s">
        <v>51</v>
      </c>
      <c r="C5" s="3" t="s">
        <v>52</v>
      </c>
      <c r="D5" s="2" t="s">
        <v>53</v>
      </c>
      <c r="E5" s="2" t="s">
        <v>54</v>
      </c>
      <c r="F5" s="3" t="s">
        <v>55</v>
      </c>
      <c r="G5" s="2" t="s">
        <v>56</v>
      </c>
      <c r="H5" s="3" t="s">
        <v>57</v>
      </c>
      <c r="I5" s="4" t="n">
        <v>45721</v>
      </c>
      <c r="J5" s="4" t="n">
        <v>45725</v>
      </c>
      <c r="K5" s="2" t="n">
        <f aca="false">J5-I5</f>
        <v>4</v>
      </c>
      <c r="L5" s="5" t="n">
        <v>2961</v>
      </c>
      <c r="M5" s="5" t="n">
        <f aca="false">K5*L5</f>
        <v>11844</v>
      </c>
      <c r="N5" s="6" t="n">
        <v>0.1</v>
      </c>
      <c r="O5" s="5" t="n">
        <f aca="false">M5*N5</f>
        <v>1184.4</v>
      </c>
      <c r="P5" s="5" t="n">
        <f aca="false">M5-O5</f>
        <v>10659.6</v>
      </c>
      <c r="Q5" s="6" t="n">
        <v>0.18</v>
      </c>
      <c r="R5" s="5" t="n">
        <f aca="false">P5*Q5</f>
        <v>1918.728</v>
      </c>
      <c r="S5" s="7" t="n">
        <f aca="false">P5+R5</f>
        <v>12578.328</v>
      </c>
      <c r="T5" s="2" t="s">
        <v>29</v>
      </c>
      <c r="U5" s="2" t="s">
        <v>30</v>
      </c>
    </row>
    <row r="6" customFormat="false" ht="15" hidden="false" customHeight="false" outlineLevel="0" collapsed="false">
      <c r="A6" s="2" t="s">
        <v>58</v>
      </c>
      <c r="B6" s="2" t="s">
        <v>59</v>
      </c>
      <c r="C6" s="3" t="s">
        <v>60</v>
      </c>
      <c r="D6" s="2" t="s">
        <v>61</v>
      </c>
      <c r="E6" s="2" t="s">
        <v>25</v>
      </c>
      <c r="F6" s="3" t="s">
        <v>26</v>
      </c>
      <c r="G6" s="2" t="s">
        <v>62</v>
      </c>
      <c r="H6" s="3" t="s">
        <v>47</v>
      </c>
      <c r="I6" s="4" t="n">
        <v>45777</v>
      </c>
      <c r="J6" s="4" t="n">
        <v>45784</v>
      </c>
      <c r="K6" s="2" t="n">
        <f aca="false">J6-I6</f>
        <v>7</v>
      </c>
      <c r="L6" s="5" t="n">
        <v>1603</v>
      </c>
      <c r="M6" s="5" t="n">
        <f aca="false">K6*L6</f>
        <v>11221</v>
      </c>
      <c r="N6" s="6" t="n">
        <v>0.05</v>
      </c>
      <c r="O6" s="5" t="n">
        <f aca="false">M6*N6</f>
        <v>561.05</v>
      </c>
      <c r="P6" s="5" t="n">
        <f aca="false">M6-O6</f>
        <v>10659.95</v>
      </c>
      <c r="Q6" s="6" t="n">
        <v>0.18</v>
      </c>
      <c r="R6" s="5" t="n">
        <f aca="false">P6*Q6</f>
        <v>1918.791</v>
      </c>
      <c r="S6" s="7" t="n">
        <f aca="false">P6+R6</f>
        <v>12578.741</v>
      </c>
      <c r="T6" s="2" t="s">
        <v>48</v>
      </c>
      <c r="U6" s="2" t="s">
        <v>30</v>
      </c>
    </row>
    <row r="7" customFormat="false" ht="15" hidden="false" customHeight="false" outlineLevel="0" collapsed="false">
      <c r="A7" s="2" t="s">
        <v>63</v>
      </c>
      <c r="B7" s="2" t="s">
        <v>64</v>
      </c>
      <c r="C7" s="3" t="s">
        <v>65</v>
      </c>
      <c r="D7" s="2" t="s">
        <v>66</v>
      </c>
      <c r="E7" s="2" t="s">
        <v>25</v>
      </c>
      <c r="F7" s="3" t="s">
        <v>67</v>
      </c>
      <c r="G7" s="2" t="s">
        <v>68</v>
      </c>
      <c r="H7" s="3" t="s">
        <v>57</v>
      </c>
      <c r="I7" s="4" t="n">
        <v>45745</v>
      </c>
      <c r="J7" s="4" t="n">
        <v>45750</v>
      </c>
      <c r="K7" s="2" t="n">
        <f aca="false">J7-I7</f>
        <v>5</v>
      </c>
      <c r="L7" s="5" t="n">
        <v>1750</v>
      </c>
      <c r="M7" s="5" t="n">
        <f aca="false">K7*L7</f>
        <v>8750</v>
      </c>
      <c r="N7" s="6" t="n">
        <v>0</v>
      </c>
      <c r="O7" s="5" t="n">
        <f aca="false">M7*N7</f>
        <v>0</v>
      </c>
      <c r="P7" s="5" t="n">
        <f aca="false">M7-O7</f>
        <v>8750</v>
      </c>
      <c r="Q7" s="6" t="n">
        <v>0.18</v>
      </c>
      <c r="R7" s="5" t="n">
        <f aca="false">P7*Q7</f>
        <v>1575</v>
      </c>
      <c r="S7" s="7" t="n">
        <f aca="false">P7+R7</f>
        <v>10325</v>
      </c>
      <c r="T7" s="2" t="s">
        <v>48</v>
      </c>
      <c r="U7" s="2" t="s">
        <v>30</v>
      </c>
    </row>
    <row r="8" customFormat="false" ht="15" hidden="false" customHeight="false" outlineLevel="0" collapsed="false">
      <c r="A8" s="2" t="s">
        <v>69</v>
      </c>
      <c r="B8" s="2" t="s">
        <v>70</v>
      </c>
      <c r="C8" s="3" t="s">
        <v>71</v>
      </c>
      <c r="D8" s="2" t="s">
        <v>72</v>
      </c>
      <c r="E8" s="2" t="s">
        <v>35</v>
      </c>
      <c r="F8" s="3" t="s">
        <v>36</v>
      </c>
      <c r="G8" s="2" t="s">
        <v>73</v>
      </c>
      <c r="H8" s="3" t="s">
        <v>38</v>
      </c>
      <c r="I8" s="4" t="n">
        <v>45795</v>
      </c>
      <c r="J8" s="4" t="n">
        <v>45796</v>
      </c>
      <c r="K8" s="2" t="n">
        <f aca="false">J8-I8</f>
        <v>1</v>
      </c>
      <c r="L8" s="5" t="n">
        <v>2216</v>
      </c>
      <c r="M8" s="5" t="n">
        <f aca="false">K8*L8</f>
        <v>2216</v>
      </c>
      <c r="N8" s="6" t="n">
        <v>0.1</v>
      </c>
      <c r="O8" s="5" t="n">
        <f aca="false">M8*N8</f>
        <v>221.6</v>
      </c>
      <c r="P8" s="5" t="n">
        <f aca="false">M8-O8</f>
        <v>1994.4</v>
      </c>
      <c r="Q8" s="6" t="n">
        <v>0.18</v>
      </c>
      <c r="R8" s="5" t="n">
        <f aca="false">P8*Q8</f>
        <v>358.992</v>
      </c>
      <c r="S8" s="7" t="n">
        <f aca="false">P8+R8</f>
        <v>2353.392</v>
      </c>
      <c r="T8" s="2" t="s">
        <v>74</v>
      </c>
      <c r="U8" s="2" t="s">
        <v>30</v>
      </c>
    </row>
    <row r="9" customFormat="false" ht="15" hidden="false" customHeight="false" outlineLevel="0" collapsed="false">
      <c r="A9" s="2" t="s">
        <v>75</v>
      </c>
      <c r="B9" s="2" t="s">
        <v>76</v>
      </c>
      <c r="C9" s="3" t="s">
        <v>77</v>
      </c>
      <c r="D9" s="2" t="s">
        <v>78</v>
      </c>
      <c r="E9" s="2" t="s">
        <v>54</v>
      </c>
      <c r="F9" s="3" t="s">
        <v>55</v>
      </c>
      <c r="G9" s="2" t="s">
        <v>79</v>
      </c>
      <c r="H9" s="3" t="s">
        <v>80</v>
      </c>
      <c r="I9" s="4" t="n">
        <v>45792</v>
      </c>
      <c r="J9" s="4" t="n">
        <v>45798</v>
      </c>
      <c r="K9" s="2" t="n">
        <f aca="false">J9-I9</f>
        <v>6</v>
      </c>
      <c r="L9" s="5" t="n">
        <v>3997</v>
      </c>
      <c r="M9" s="5" t="n">
        <f aca="false">K9*L9</f>
        <v>23982</v>
      </c>
      <c r="N9" s="6" t="n">
        <v>0.05</v>
      </c>
      <c r="O9" s="5" t="n">
        <f aca="false">M9*N9</f>
        <v>1199.1</v>
      </c>
      <c r="P9" s="5" t="n">
        <f aca="false">M9-O9</f>
        <v>22782.9</v>
      </c>
      <c r="Q9" s="6" t="n">
        <v>0.18</v>
      </c>
      <c r="R9" s="5" t="n">
        <f aca="false">P9*Q9</f>
        <v>4100.922</v>
      </c>
      <c r="S9" s="7" t="n">
        <f aca="false">P9+R9</f>
        <v>26883.822</v>
      </c>
      <c r="T9" s="2" t="s">
        <v>39</v>
      </c>
      <c r="U9" s="2" t="s">
        <v>81</v>
      </c>
    </row>
    <row r="10" customFormat="false" ht="15" hidden="false" customHeight="false" outlineLevel="0" collapsed="false">
      <c r="A10" s="2" t="s">
        <v>82</v>
      </c>
      <c r="B10" s="2" t="s">
        <v>83</v>
      </c>
      <c r="C10" s="3" t="s">
        <v>84</v>
      </c>
      <c r="D10" s="2" t="s">
        <v>85</v>
      </c>
      <c r="E10" s="2" t="s">
        <v>44</v>
      </c>
      <c r="F10" s="3" t="s">
        <v>45</v>
      </c>
      <c r="G10" s="2" t="s">
        <v>86</v>
      </c>
      <c r="H10" s="3" t="s">
        <v>87</v>
      </c>
      <c r="I10" s="4" t="n">
        <v>45739</v>
      </c>
      <c r="J10" s="4" t="n">
        <v>45746</v>
      </c>
      <c r="K10" s="2" t="n">
        <f aca="false">J10-I10</f>
        <v>7</v>
      </c>
      <c r="L10" s="5" t="n">
        <v>1632</v>
      </c>
      <c r="M10" s="5" t="n">
        <f aca="false">K10*L10</f>
        <v>11424</v>
      </c>
      <c r="N10" s="6" t="n">
        <v>0.1</v>
      </c>
      <c r="O10" s="5" t="n">
        <f aca="false">M10*N10</f>
        <v>1142.4</v>
      </c>
      <c r="P10" s="5" t="n">
        <f aca="false">M10-O10</f>
        <v>10281.6</v>
      </c>
      <c r="Q10" s="6" t="n">
        <v>0.18</v>
      </c>
      <c r="R10" s="5" t="n">
        <f aca="false">P10*Q10</f>
        <v>1850.688</v>
      </c>
      <c r="S10" s="7" t="n">
        <f aca="false">P10+R10</f>
        <v>12132.288</v>
      </c>
      <c r="T10" s="2" t="s">
        <v>48</v>
      </c>
      <c r="U10" s="2" t="s">
        <v>49</v>
      </c>
    </row>
    <row r="11" customFormat="false" ht="15" hidden="false" customHeight="false" outlineLevel="0" collapsed="false">
      <c r="A11" s="2" t="s">
        <v>88</v>
      </c>
      <c r="B11" s="2" t="s">
        <v>89</v>
      </c>
      <c r="C11" s="3" t="s">
        <v>90</v>
      </c>
      <c r="D11" s="2" t="s">
        <v>91</v>
      </c>
      <c r="E11" s="2" t="s">
        <v>44</v>
      </c>
      <c r="F11" s="3" t="s">
        <v>92</v>
      </c>
      <c r="G11" s="2" t="s">
        <v>93</v>
      </c>
      <c r="H11" s="3" t="s">
        <v>28</v>
      </c>
      <c r="I11" s="4" t="n">
        <v>45794</v>
      </c>
      <c r="J11" s="4" t="n">
        <v>45801</v>
      </c>
      <c r="K11" s="2" t="n">
        <f aca="false">J11-I11</f>
        <v>7</v>
      </c>
      <c r="L11" s="5" t="n">
        <v>1548</v>
      </c>
      <c r="M11" s="5" t="n">
        <f aca="false">K11*L11</f>
        <v>10836</v>
      </c>
      <c r="N11" s="6" t="n">
        <v>0</v>
      </c>
      <c r="O11" s="5" t="n">
        <f aca="false">M11*N11</f>
        <v>0</v>
      </c>
      <c r="P11" s="5" t="n">
        <f aca="false">M11-O11</f>
        <v>10836</v>
      </c>
      <c r="Q11" s="6" t="n">
        <v>0.18</v>
      </c>
      <c r="R11" s="5" t="n">
        <f aca="false">P11*Q11</f>
        <v>1950.48</v>
      </c>
      <c r="S11" s="7" t="n">
        <f aca="false">P11+R11</f>
        <v>12786.48</v>
      </c>
      <c r="T11" s="2" t="s">
        <v>48</v>
      </c>
      <c r="U11" s="2" t="s">
        <v>49</v>
      </c>
    </row>
    <row r="12" customFormat="false" ht="15" hidden="false" customHeight="false" outlineLevel="0" collapsed="false">
      <c r="A12" s="2" t="s">
        <v>94</v>
      </c>
      <c r="B12" s="2" t="s">
        <v>95</v>
      </c>
      <c r="C12" s="3" t="s">
        <v>96</v>
      </c>
      <c r="D12" s="2" t="s">
        <v>97</v>
      </c>
      <c r="E12" s="2" t="s">
        <v>35</v>
      </c>
      <c r="F12" s="3" t="s">
        <v>98</v>
      </c>
      <c r="G12" s="2" t="s">
        <v>99</v>
      </c>
      <c r="H12" s="3" t="s">
        <v>38</v>
      </c>
      <c r="I12" s="4" t="n">
        <v>45917</v>
      </c>
      <c r="J12" s="4" t="n">
        <v>45922</v>
      </c>
      <c r="K12" s="2" t="n">
        <f aca="false">J12-I12</f>
        <v>5</v>
      </c>
      <c r="L12" s="5" t="n">
        <v>2203</v>
      </c>
      <c r="M12" s="5" t="n">
        <f aca="false">K12*L12</f>
        <v>11015</v>
      </c>
      <c r="N12" s="6" t="n">
        <v>0</v>
      </c>
      <c r="O12" s="5" t="n">
        <f aca="false">M12*N12</f>
        <v>0</v>
      </c>
      <c r="P12" s="5" t="n">
        <f aca="false">M12-O12</f>
        <v>11015</v>
      </c>
      <c r="Q12" s="6" t="n">
        <v>0.18</v>
      </c>
      <c r="R12" s="5" t="n">
        <f aca="false">P12*Q12</f>
        <v>1982.7</v>
      </c>
      <c r="S12" s="7" t="n">
        <f aca="false">P12+R12</f>
        <v>12997.7</v>
      </c>
      <c r="T12" s="2" t="s">
        <v>29</v>
      </c>
      <c r="U12" s="2" t="s">
        <v>30</v>
      </c>
    </row>
    <row r="13" customFormat="false" ht="15" hidden="false" customHeight="false" outlineLevel="0" collapsed="false">
      <c r="A13" s="2" t="s">
        <v>100</v>
      </c>
      <c r="B13" s="2" t="s">
        <v>101</v>
      </c>
      <c r="C13" s="3" t="s">
        <v>102</v>
      </c>
      <c r="D13" s="2" t="s">
        <v>103</v>
      </c>
      <c r="E13" s="2" t="s">
        <v>54</v>
      </c>
      <c r="F13" s="3" t="s">
        <v>104</v>
      </c>
      <c r="G13" s="2" t="s">
        <v>105</v>
      </c>
      <c r="H13" s="3" t="s">
        <v>106</v>
      </c>
      <c r="I13" s="4" t="n">
        <v>45781</v>
      </c>
      <c r="J13" s="4" t="n">
        <v>45786</v>
      </c>
      <c r="K13" s="2" t="n">
        <f aca="false">J13-I13</f>
        <v>5</v>
      </c>
      <c r="L13" s="5" t="n">
        <v>2961</v>
      </c>
      <c r="M13" s="5" t="n">
        <f aca="false">K13*L13</f>
        <v>14805</v>
      </c>
      <c r="N13" s="6" t="n">
        <v>0</v>
      </c>
      <c r="O13" s="5" t="n">
        <f aca="false">M13*N13</f>
        <v>0</v>
      </c>
      <c r="P13" s="5" t="n">
        <f aca="false">M13-O13</f>
        <v>14805</v>
      </c>
      <c r="Q13" s="6" t="n">
        <v>0.18</v>
      </c>
      <c r="R13" s="5" t="n">
        <f aca="false">P13*Q13</f>
        <v>2664.9</v>
      </c>
      <c r="S13" s="7" t="n">
        <f aca="false">P13+R13</f>
        <v>17469.9</v>
      </c>
      <c r="T13" s="2" t="s">
        <v>107</v>
      </c>
      <c r="U13" s="2" t="s">
        <v>30</v>
      </c>
    </row>
    <row r="14" customFormat="false" ht="15" hidden="false" customHeight="false" outlineLevel="0" collapsed="false">
      <c r="A14" s="2" t="s">
        <v>108</v>
      </c>
      <c r="B14" s="2" t="s">
        <v>109</v>
      </c>
      <c r="C14" s="3" t="s">
        <v>110</v>
      </c>
      <c r="D14" s="2" t="s">
        <v>111</v>
      </c>
      <c r="E14" s="2" t="s">
        <v>25</v>
      </c>
      <c r="F14" s="3" t="s">
        <v>67</v>
      </c>
      <c r="G14" s="2" t="s">
        <v>112</v>
      </c>
      <c r="H14" s="3" t="s">
        <v>38</v>
      </c>
      <c r="I14" s="4" t="n">
        <v>45793</v>
      </c>
      <c r="J14" s="4" t="n">
        <v>45798</v>
      </c>
      <c r="K14" s="2" t="n">
        <f aca="false">J14-I14</f>
        <v>5</v>
      </c>
      <c r="L14" s="5" t="n">
        <v>2121</v>
      </c>
      <c r="M14" s="5" t="n">
        <f aca="false">K14*L14</f>
        <v>10605</v>
      </c>
      <c r="N14" s="6" t="n">
        <v>0.05</v>
      </c>
      <c r="O14" s="5" t="n">
        <f aca="false">M14*N14</f>
        <v>530.25</v>
      </c>
      <c r="P14" s="5" t="n">
        <f aca="false">M14-O14</f>
        <v>10074.75</v>
      </c>
      <c r="Q14" s="6" t="n">
        <v>0.18</v>
      </c>
      <c r="R14" s="5" t="n">
        <f aca="false">P14*Q14</f>
        <v>1813.455</v>
      </c>
      <c r="S14" s="7" t="n">
        <f aca="false">P14+R14</f>
        <v>11888.205</v>
      </c>
      <c r="T14" s="2" t="s">
        <v>48</v>
      </c>
      <c r="U14" s="2" t="s">
        <v>81</v>
      </c>
    </row>
    <row r="15" customFormat="false" ht="15" hidden="false" customHeight="false" outlineLevel="0" collapsed="false">
      <c r="A15" s="2" t="s">
        <v>113</v>
      </c>
      <c r="B15" s="2" t="s">
        <v>114</v>
      </c>
      <c r="C15" s="3" t="s">
        <v>115</v>
      </c>
      <c r="D15" s="2" t="s">
        <v>116</v>
      </c>
      <c r="E15" s="2" t="s">
        <v>117</v>
      </c>
      <c r="F15" s="3" t="s">
        <v>118</v>
      </c>
      <c r="G15" s="2" t="s">
        <v>119</v>
      </c>
      <c r="H15" s="3" t="s">
        <v>28</v>
      </c>
      <c r="I15" s="4" t="n">
        <v>45773</v>
      </c>
      <c r="J15" s="4" t="n">
        <v>45774</v>
      </c>
      <c r="K15" s="2" t="n">
        <f aca="false">J15-I15</f>
        <v>1</v>
      </c>
      <c r="L15" s="5" t="n">
        <v>3892</v>
      </c>
      <c r="M15" s="5" t="n">
        <f aca="false">K15*L15</f>
        <v>3892</v>
      </c>
      <c r="N15" s="6" t="n">
        <v>0</v>
      </c>
      <c r="O15" s="5" t="n">
        <f aca="false">M15*N15</f>
        <v>0</v>
      </c>
      <c r="P15" s="5" t="n">
        <f aca="false">M15-O15</f>
        <v>3892</v>
      </c>
      <c r="Q15" s="6" t="n">
        <v>0.18</v>
      </c>
      <c r="R15" s="5" t="n">
        <f aca="false">P15*Q15</f>
        <v>700.56</v>
      </c>
      <c r="S15" s="7" t="n">
        <f aca="false">P15+R15</f>
        <v>4592.56</v>
      </c>
      <c r="T15" s="2" t="s">
        <v>29</v>
      </c>
      <c r="U15" s="2" t="s">
        <v>30</v>
      </c>
    </row>
    <row r="16" customFormat="false" ht="15" hidden="false" customHeight="false" outlineLevel="0" collapsed="false">
      <c r="A16" s="2" t="s">
        <v>120</v>
      </c>
      <c r="B16" s="2" t="s">
        <v>121</v>
      </c>
      <c r="C16" s="3" t="s">
        <v>122</v>
      </c>
      <c r="D16" s="2" t="s">
        <v>123</v>
      </c>
      <c r="E16" s="2" t="s">
        <v>35</v>
      </c>
      <c r="F16" s="3" t="s">
        <v>36</v>
      </c>
      <c r="G16" s="2" t="s">
        <v>124</v>
      </c>
      <c r="H16" s="3" t="s">
        <v>80</v>
      </c>
      <c r="I16" s="4" t="n">
        <v>45694</v>
      </c>
      <c r="J16" s="4" t="n">
        <v>45699</v>
      </c>
      <c r="K16" s="2" t="n">
        <f aca="false">J16-I16</f>
        <v>5</v>
      </c>
      <c r="L16" s="5" t="n">
        <v>2243</v>
      </c>
      <c r="M16" s="5" t="n">
        <f aca="false">K16*L16</f>
        <v>11215</v>
      </c>
      <c r="N16" s="6" t="n">
        <v>0</v>
      </c>
      <c r="O16" s="5" t="n">
        <f aca="false">M16*N16</f>
        <v>0</v>
      </c>
      <c r="P16" s="5" t="n">
        <f aca="false">M16-O16</f>
        <v>11215</v>
      </c>
      <c r="Q16" s="6" t="n">
        <v>0.18</v>
      </c>
      <c r="R16" s="5" t="n">
        <f aca="false">P16*Q16</f>
        <v>2018.7</v>
      </c>
      <c r="S16" s="7" t="n">
        <f aca="false">P16+R16</f>
        <v>13233.7</v>
      </c>
      <c r="T16" s="2" t="s">
        <v>39</v>
      </c>
      <c r="U16" s="2" t="s">
        <v>49</v>
      </c>
    </row>
    <row r="17" customFormat="false" ht="15" hidden="false" customHeight="false" outlineLevel="0" collapsed="false">
      <c r="A17" s="2" t="s">
        <v>125</v>
      </c>
      <c r="B17" s="2" t="s">
        <v>126</v>
      </c>
      <c r="C17" s="3" t="s">
        <v>127</v>
      </c>
      <c r="D17" s="2" t="s">
        <v>128</v>
      </c>
      <c r="E17" s="2" t="s">
        <v>129</v>
      </c>
      <c r="F17" s="3" t="s">
        <v>130</v>
      </c>
      <c r="G17" s="2" t="s">
        <v>131</v>
      </c>
      <c r="H17" s="3" t="s">
        <v>38</v>
      </c>
      <c r="I17" s="4" t="n">
        <v>45755</v>
      </c>
      <c r="J17" s="4" t="n">
        <v>45756</v>
      </c>
      <c r="K17" s="2" t="n">
        <f aca="false">J17-I17</f>
        <v>1</v>
      </c>
      <c r="L17" s="5" t="n">
        <v>5897</v>
      </c>
      <c r="M17" s="5" t="n">
        <f aca="false">K17*L17</f>
        <v>5897</v>
      </c>
      <c r="N17" s="6" t="n">
        <v>0.15</v>
      </c>
      <c r="O17" s="5" t="n">
        <f aca="false">M17*N17</f>
        <v>884.55</v>
      </c>
      <c r="P17" s="5" t="n">
        <f aca="false">M17-O17</f>
        <v>5012.45</v>
      </c>
      <c r="Q17" s="6" t="n">
        <v>0.18</v>
      </c>
      <c r="R17" s="5" t="n">
        <f aca="false">P17*Q17</f>
        <v>902.241</v>
      </c>
      <c r="S17" s="7" t="n">
        <f aca="false">P17+R17</f>
        <v>5914.691</v>
      </c>
      <c r="T17" s="2" t="s">
        <v>29</v>
      </c>
      <c r="U17" s="2" t="s">
        <v>30</v>
      </c>
    </row>
    <row r="18" customFormat="false" ht="15" hidden="false" customHeight="false" outlineLevel="0" collapsed="false">
      <c r="A18" s="2" t="s">
        <v>132</v>
      </c>
      <c r="B18" s="2" t="s">
        <v>133</v>
      </c>
      <c r="C18" s="3" t="s">
        <v>134</v>
      </c>
      <c r="D18" s="2" t="s">
        <v>135</v>
      </c>
      <c r="E18" s="2" t="s">
        <v>44</v>
      </c>
      <c r="F18" s="3" t="s">
        <v>136</v>
      </c>
      <c r="G18" s="2" t="s">
        <v>137</v>
      </c>
      <c r="H18" s="3" t="s">
        <v>47</v>
      </c>
      <c r="I18" s="4" t="n">
        <v>45785</v>
      </c>
      <c r="J18" s="4" t="n">
        <v>45787</v>
      </c>
      <c r="K18" s="2" t="n">
        <f aca="false">J18-I18</f>
        <v>2</v>
      </c>
      <c r="L18" s="5" t="n">
        <v>1394</v>
      </c>
      <c r="M18" s="5" t="n">
        <f aca="false">K18*L18</f>
        <v>2788</v>
      </c>
      <c r="N18" s="6" t="n">
        <v>0.1</v>
      </c>
      <c r="O18" s="5" t="n">
        <f aca="false">M18*N18</f>
        <v>278.8</v>
      </c>
      <c r="P18" s="5" t="n">
        <f aca="false">M18-O18</f>
        <v>2509.2</v>
      </c>
      <c r="Q18" s="6" t="n">
        <v>0.18</v>
      </c>
      <c r="R18" s="5" t="n">
        <f aca="false">P18*Q18</f>
        <v>451.656</v>
      </c>
      <c r="S18" s="7" t="n">
        <f aca="false">P18+R18</f>
        <v>2960.856</v>
      </c>
      <c r="T18" s="2" t="s">
        <v>74</v>
      </c>
      <c r="U18" s="2" t="s">
        <v>30</v>
      </c>
    </row>
    <row r="19" customFormat="false" ht="15" hidden="false" customHeight="false" outlineLevel="0" collapsed="false">
      <c r="A19" s="2" t="s">
        <v>138</v>
      </c>
      <c r="B19" s="2" t="s">
        <v>139</v>
      </c>
      <c r="C19" s="3" t="s">
        <v>140</v>
      </c>
      <c r="D19" s="2" t="s">
        <v>141</v>
      </c>
      <c r="E19" s="2" t="s">
        <v>44</v>
      </c>
      <c r="F19" s="3" t="s">
        <v>136</v>
      </c>
      <c r="G19" s="2" t="s">
        <v>142</v>
      </c>
      <c r="H19" s="3" t="s">
        <v>38</v>
      </c>
      <c r="I19" s="4" t="n">
        <v>45683</v>
      </c>
      <c r="J19" s="4" t="n">
        <v>45689</v>
      </c>
      <c r="K19" s="2" t="n">
        <f aca="false">J19-I19</f>
        <v>6</v>
      </c>
      <c r="L19" s="5" t="n">
        <v>1753</v>
      </c>
      <c r="M19" s="5" t="n">
        <f aca="false">K19*L19</f>
        <v>10518</v>
      </c>
      <c r="N19" s="6" t="n">
        <v>0</v>
      </c>
      <c r="O19" s="5" t="n">
        <f aca="false">M19*N19</f>
        <v>0</v>
      </c>
      <c r="P19" s="5" t="n">
        <f aca="false">M19-O19</f>
        <v>10518</v>
      </c>
      <c r="Q19" s="6" t="n">
        <v>0.18</v>
      </c>
      <c r="R19" s="5" t="n">
        <f aca="false">P19*Q19</f>
        <v>1893.24</v>
      </c>
      <c r="S19" s="7" t="n">
        <f aca="false">P19+R19</f>
        <v>12411.24</v>
      </c>
      <c r="T19" s="2" t="s">
        <v>74</v>
      </c>
      <c r="U19" s="2" t="s">
        <v>30</v>
      </c>
    </row>
    <row r="20" customFormat="false" ht="15" hidden="false" customHeight="false" outlineLevel="0" collapsed="false">
      <c r="A20" s="2" t="s">
        <v>143</v>
      </c>
      <c r="B20" s="2" t="s">
        <v>144</v>
      </c>
      <c r="C20" s="3" t="s">
        <v>145</v>
      </c>
      <c r="D20" s="2" t="s">
        <v>146</v>
      </c>
      <c r="E20" s="2" t="s">
        <v>129</v>
      </c>
      <c r="F20" s="3" t="s">
        <v>130</v>
      </c>
      <c r="G20" s="2" t="s">
        <v>147</v>
      </c>
      <c r="H20" s="3" t="s">
        <v>80</v>
      </c>
      <c r="I20" s="4" t="n">
        <v>45659</v>
      </c>
      <c r="J20" s="4" t="n">
        <v>45663</v>
      </c>
      <c r="K20" s="2" t="n">
        <f aca="false">J20-I20</f>
        <v>4</v>
      </c>
      <c r="L20" s="5" t="n">
        <v>6586</v>
      </c>
      <c r="M20" s="5" t="n">
        <f aca="false">K20*L20</f>
        <v>26344</v>
      </c>
      <c r="N20" s="6" t="n">
        <v>0.05</v>
      </c>
      <c r="O20" s="5" t="n">
        <f aca="false">M20*N20</f>
        <v>1317.2</v>
      </c>
      <c r="P20" s="5" t="n">
        <f aca="false">M20-O20</f>
        <v>25026.8</v>
      </c>
      <c r="Q20" s="6" t="n">
        <v>0.18</v>
      </c>
      <c r="R20" s="5" t="n">
        <f aca="false">P20*Q20</f>
        <v>4504.824</v>
      </c>
      <c r="S20" s="7" t="n">
        <f aca="false">P20+R20</f>
        <v>29531.624</v>
      </c>
      <c r="T20" s="2" t="s">
        <v>48</v>
      </c>
      <c r="U20" s="2" t="s">
        <v>30</v>
      </c>
    </row>
    <row r="21" customFormat="false" ht="15" hidden="false" customHeight="false" outlineLevel="0" collapsed="false">
      <c r="A21" s="2" t="s">
        <v>148</v>
      </c>
      <c r="B21" s="2" t="s">
        <v>149</v>
      </c>
      <c r="C21" s="3" t="s">
        <v>150</v>
      </c>
      <c r="D21" s="2" t="s">
        <v>151</v>
      </c>
      <c r="E21" s="2" t="s">
        <v>44</v>
      </c>
      <c r="F21" s="3" t="s">
        <v>92</v>
      </c>
      <c r="G21" s="2" t="s">
        <v>152</v>
      </c>
      <c r="H21" s="3" t="s">
        <v>87</v>
      </c>
      <c r="I21" s="4" t="n">
        <v>45818</v>
      </c>
      <c r="J21" s="4" t="n">
        <v>45819</v>
      </c>
      <c r="K21" s="2" t="n">
        <f aca="false">J21-I21</f>
        <v>1</v>
      </c>
      <c r="L21" s="5" t="n">
        <v>1251</v>
      </c>
      <c r="M21" s="5" t="n">
        <f aca="false">K21*L21</f>
        <v>1251</v>
      </c>
      <c r="N21" s="6" t="n">
        <v>0.1</v>
      </c>
      <c r="O21" s="5" t="n">
        <f aca="false">M21*N21</f>
        <v>125.1</v>
      </c>
      <c r="P21" s="5" t="n">
        <f aca="false">M21-O21</f>
        <v>1125.9</v>
      </c>
      <c r="Q21" s="6" t="n">
        <v>0.18</v>
      </c>
      <c r="R21" s="5" t="n">
        <f aca="false">P21*Q21</f>
        <v>202.662</v>
      </c>
      <c r="S21" s="7" t="n">
        <f aca="false">P21+R21</f>
        <v>1328.562</v>
      </c>
      <c r="T21" s="2" t="s">
        <v>29</v>
      </c>
      <c r="U21" s="2" t="s">
        <v>30</v>
      </c>
    </row>
    <row r="22" customFormat="false" ht="15" hidden="false" customHeight="false" outlineLevel="0" collapsed="false">
      <c r="F22" s="8" t="s">
        <v>153</v>
      </c>
      <c r="M22" s="9" t="n">
        <f aca="false">SUM(M2:M21)</f>
        <v>195742</v>
      </c>
      <c r="O22" s="9" t="n">
        <f aca="false">SUM(O2:O21)</f>
        <v>9589.3</v>
      </c>
      <c r="P22" s="9" t="n">
        <f aca="false">SUM(P2:P21)</f>
        <v>186152.7</v>
      </c>
      <c r="R22" s="9" t="n">
        <f aca="false">SUM(R2:R21)</f>
        <v>33507.486</v>
      </c>
      <c r="S22" s="9" t="n">
        <f aca="false">SUM(S2:S21)</f>
        <v>219660.186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2026-09-29T03:41:35Z</dcterms:created>
  <dc:creator>openpyxl</dc:creator>
  <dc:description/>
  <dc:language>en-US</dc:language>
  <cp:lastModifiedBy/>
  <dcterms:modified xsi:type="dcterms:W3CDTF">2026-09-29T03:41:35Z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